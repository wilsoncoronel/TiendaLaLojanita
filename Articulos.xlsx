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SLAYER\Desktop\"/>
    </mc:Choice>
  </mc:AlternateContent>
  <xr:revisionPtr revIDLastSave="0" documentId="13_ncr:1_{C30C0A2F-A380-47E0-99C3-BDF99BE28500}" xr6:coauthVersionLast="47" xr6:coauthVersionMax="47" xr10:uidLastSave="{00000000-0000-0000-0000-000000000000}"/>
  <bookViews>
    <workbookView xWindow="-120" yWindow="-120" windowWidth="38640" windowHeight="15990" xr2:uid="{D01E294B-BEAD-479A-92F4-175FAFE44FA2}"/>
  </bookViews>
  <sheets>
    <sheet name="Hoja1" sheetId="1" r:id="rId1"/>
    <sheet name="impuestos" sheetId="4" r:id="rId2"/>
    <sheet name="tipos" sheetId="5" r:id="rId3"/>
    <sheet name="marcas" sheetId="6" r:id="rId4"/>
  </sheets>
  <definedNames>
    <definedName name="impuestos">impuestos!$A$1:$B$4</definedName>
    <definedName name="marca">#REF!</definedName>
    <definedName name="marcas">marcas!$A$1:$B$38</definedName>
    <definedName name="tipArticulos">tipos!$A$1:$B$39</definedName>
    <definedName name="tipoarticulos">#REF!</definedName>
    <definedName name="tiposArticulos">tipos!$A$1:$B$260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I3" i="1"/>
  <c r="I4" i="1"/>
  <c r="G3" i="1"/>
  <c r="G4" i="1"/>
  <c r="D3" i="1"/>
  <c r="D4" i="1"/>
  <c r="B3" i="1"/>
  <c r="B4" i="1"/>
  <c r="B2" i="1"/>
  <c r="D2" i="1"/>
  <c r="G2" i="1"/>
  <c r="J2" i="1"/>
  <c r="I2" i="1"/>
</calcChain>
</file>

<file path=xl/sharedStrings.xml><?xml version="1.0" encoding="utf-8"?>
<sst xmlns="http://schemas.openxmlformats.org/spreadsheetml/2006/main" count="50" uniqueCount="47">
  <si>
    <t>REAL</t>
  </si>
  <si>
    <t>EL COCINERO</t>
  </si>
  <si>
    <t>BIG COLA</t>
  </si>
  <si>
    <t>PAN COMUN</t>
  </si>
  <si>
    <t>SIN MARCA</t>
  </si>
  <si>
    <t>MR. POLLO</t>
  </si>
  <si>
    <t>PEPSI</t>
  </si>
  <si>
    <t>BIG</t>
  </si>
  <si>
    <t>Enlatados</t>
  </si>
  <si>
    <t>Aceites</t>
  </si>
  <si>
    <t>GASEOSA</t>
  </si>
  <si>
    <t>CEREALES</t>
  </si>
  <si>
    <t>PAN</t>
  </si>
  <si>
    <t>CARNE POLLO</t>
  </si>
  <si>
    <t>CARNE RES</t>
  </si>
  <si>
    <t>LAPICEROS</t>
  </si>
  <si>
    <t>IdMarca</t>
  </si>
  <si>
    <t>IdTipoArticulo</t>
  </si>
  <si>
    <t>IdUsuarioCreador</t>
  </si>
  <si>
    <t>IdImpuesto</t>
  </si>
  <si>
    <t>Nombre</t>
  </si>
  <si>
    <t>FechaCreacion</t>
  </si>
  <si>
    <t>FechaCaducidad</t>
  </si>
  <si>
    <t>EstadoVisual</t>
  </si>
  <si>
    <t>Estado</t>
  </si>
  <si>
    <t>Descripcion</t>
  </si>
  <si>
    <t>Unidad</t>
  </si>
  <si>
    <t>UnidadValor</t>
  </si>
  <si>
    <t>ValorCompra</t>
  </si>
  <si>
    <t>ValorVenta</t>
  </si>
  <si>
    <t>Papeleria</t>
  </si>
  <si>
    <t>UNI</t>
  </si>
  <si>
    <t>Incluido Iva 15%</t>
  </si>
  <si>
    <t>Marca</t>
  </si>
  <si>
    <t>Tipo</t>
  </si>
  <si>
    <t>Impuesto</t>
  </si>
  <si>
    <t>HOJAS</t>
  </si>
  <si>
    <t>CARTULINAS</t>
  </si>
  <si>
    <t>MARCADORES</t>
  </si>
  <si>
    <t>CUADERNOS ANILLADOS CADEMICOS</t>
  </si>
  <si>
    <t>CUADERNOS ANILLADOS PEQ.</t>
  </si>
  <si>
    <t>GOMAS</t>
  </si>
  <si>
    <t>esferos negro punta fina</t>
  </si>
  <si>
    <t>esferos rojo punta fina</t>
  </si>
  <si>
    <t>esferos rojo punta media</t>
  </si>
  <si>
    <t xml:space="preserve">esferos </t>
  </si>
  <si>
    <t>esferos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</si>
</sst>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9962-E0AC-4315-A2A4-D96B565BE257}">
  <dimension ref="A1:R20"/>
  <sheetViews>
    <sheetView tabSelected="1" workbookViewId="0">
      <selection activeCell="M19" sqref="M19"/>
    </sheetView>
  </sheetViews>
  <sheetFormatPr baseColWidth="10" defaultRowHeight="15" x14ac:dyDescent="0.25"/>
  <cols>
    <col min="2" max="2" width="18.5703125" customWidth="1"/>
    <col min="4" max="4" width="11.85546875" bestFit="1" customWidth="1"/>
    <col min="5" max="5" width="21.28515625" customWidth="1"/>
    <col min="8" max="8" width="28.5703125" customWidth="1"/>
    <col min="9" max="9" width="23.85546875" customWidth="1"/>
    <col min="10" max="10" width="23.140625" customWidth="1"/>
    <col min="13" max="13" width="19.5703125" customWidth="1"/>
    <col min="17" max="17" width="18.28515625" customWidth="1"/>
  </cols>
  <sheetData>
    <row r="1" spans="1:18" x14ac:dyDescent="0.25">
      <c r="A1" t="s">
        <v>16</v>
      </c>
      <c r="B1" t="s">
        <v>33</v>
      </c>
      <c r="C1" t="s">
        <v>17</v>
      </c>
      <c r="D1" t="s">
        <v>34</v>
      </c>
      <c r="E1" t="s">
        <v>18</v>
      </c>
      <c r="F1" t="s">
        <v>19</v>
      </c>
      <c r="G1" t="s">
        <v>35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</row>
    <row r="2" spans="1:18" x14ac:dyDescent="0.25">
      <c r="A2">
        <v>9</v>
      </c>
      <c r="B2" t="str">
        <f>VLOOKUP(A2,marcas,2,FALSE)</f>
        <v>BIG</v>
      </c>
      <c r="C2">
        <v>8</v>
      </c>
      <c r="D2" t="str">
        <f>VLOOKUP(C2,tiposArticulos,2,FALSE)</f>
        <v>LAPICEROS</v>
      </c>
      <c r="E2">
        <v>1</v>
      </c>
      <c r="F2">
        <v>4</v>
      </c>
      <c r="G2">
        <f t="shared" ref="G2:G4" si="0">VLOOKUP(F2,impuestos,2,FALSE)</f>
        <v>0</v>
      </c>
      <c r="H2" t="s">
        <v>42</v>
      </c>
      <c r="I2" s="2">
        <f ca="1">TODAY()</f>
        <v>45966</v>
      </c>
      <c r="J2" s="2">
        <f ca="1">TODAY()</f>
        <v>45966</v>
      </c>
      <c r="K2">
        <v>1</v>
      </c>
      <c r="L2">
        <v>1</v>
      </c>
      <c r="M2" t="s">
        <v>45</v>
      </c>
      <c r="N2" t="s">
        <v>31</v>
      </c>
      <c r="O2" s="1">
        <v>1</v>
      </c>
      <c r="P2" s="4">
        <v>0.25</v>
      </c>
      <c r="Q2" s="4">
        <v>0.4</v>
      </c>
      <c r="R2">
        <v>1</v>
      </c>
    </row>
    <row r="3" spans="1:18" x14ac:dyDescent="0.25">
      <c r="A3">
        <v>9</v>
      </c>
      <c r="B3" t="str">
        <f>VLOOKUP(A3,marcas,2,FALSE)</f>
        <v>BIG</v>
      </c>
      <c r="C3">
        <v>8</v>
      </c>
      <c r="D3" t="str">
        <f>VLOOKUP(C3,tiposArticulos,2,FALSE)</f>
        <v>LAPICEROS</v>
      </c>
      <c r="E3">
        <v>1</v>
      </c>
      <c r="F3">
        <v>4</v>
      </c>
      <c r="G3">
        <f t="shared" si="0"/>
        <v>0</v>
      </c>
      <c r="H3" t="s">
        <v>43</v>
      </c>
      <c r="I3" s="2">
        <f t="shared" ref="I3:J4" ca="1" si="1">TODAY()</f>
        <v>45966</v>
      </c>
      <c r="J3" s="2">
        <f t="shared" ca="1" si="1"/>
        <v>45966</v>
      </c>
      <c r="K3">
        <v>1</v>
      </c>
      <c r="L3">
        <v>1</v>
      </c>
      <c r="M3" t="s">
        <v>45</v>
      </c>
      <c r="N3" t="s">
        <v>31</v>
      </c>
      <c r="O3" s="1">
        <v>1</v>
      </c>
      <c r="P3" s="4">
        <v>0.25</v>
      </c>
      <c r="Q3" s="4">
        <v>0.4</v>
      </c>
      <c r="R3">
        <v>1</v>
      </c>
    </row>
    <row r="4" spans="1:18" x14ac:dyDescent="0.25">
      <c r="A4">
        <v>9</v>
      </c>
      <c r="B4" t="str">
        <f>VLOOKUP(A4,marcas,2,FALSE)</f>
        <v>BIG</v>
      </c>
      <c r="C4">
        <v>8</v>
      </c>
      <c r="D4" t="str">
        <f>VLOOKUP(C4,tiposArticulos,2,FALSE)</f>
        <v>LAPICEROS</v>
      </c>
      <c r="E4">
        <v>1</v>
      </c>
      <c r="F4">
        <v>4</v>
      </c>
      <c r="G4">
        <f t="shared" si="0"/>
        <v>0</v>
      </c>
      <c r="H4" t="s">
        <v>44</v>
      </c>
      <c r="I4" s="2">
        <f t="shared" ca="1" si="1"/>
        <v>45966</v>
      </c>
      <c r="J4" s="2">
        <f t="shared" ca="1" si="1"/>
        <v>45966</v>
      </c>
      <c r="K4">
        <v>1</v>
      </c>
      <c r="L4">
        <v>1</v>
      </c>
      <c r="M4" t="s">
        <v>46</v>
      </c>
      <c r="N4" t="s">
        <v>31</v>
      </c>
      <c r="O4" s="1">
        <v>1</v>
      </c>
      <c r="P4" s="4">
        <v>0.22</v>
      </c>
      <c r="Q4" s="4">
        <v>0.35</v>
      </c>
      <c r="R4">
        <v>1</v>
      </c>
    </row>
    <row r="5" spans="1:18" x14ac:dyDescent="0.25">
      <c r="I5" s="2"/>
      <c r="J5" s="2"/>
      <c r="O5" s="1"/>
      <c r="Q5" s="1"/>
    </row>
    <row r="6" spans="1:18" x14ac:dyDescent="0.25">
      <c r="I6" s="2"/>
      <c r="J6" s="2"/>
      <c r="O6" s="1"/>
      <c r="Q6" s="1"/>
    </row>
    <row r="7" spans="1:18" x14ac:dyDescent="0.25">
      <c r="I7" s="2"/>
      <c r="J7" s="2"/>
      <c r="O7" s="1"/>
      <c r="Q7" s="1"/>
    </row>
    <row r="8" spans="1:18" x14ac:dyDescent="0.25">
      <c r="I8" s="2"/>
      <c r="J8" s="2"/>
      <c r="O8" s="1"/>
    </row>
    <row r="9" spans="1:18" x14ac:dyDescent="0.25">
      <c r="I9" s="2"/>
      <c r="J9" s="2"/>
      <c r="O9" s="1"/>
      <c r="Q9" s="1"/>
    </row>
    <row r="10" spans="1:18" x14ac:dyDescent="0.25">
      <c r="I10" s="2"/>
      <c r="J10" s="2"/>
      <c r="O10" s="1"/>
    </row>
    <row r="11" spans="1:18" x14ac:dyDescent="0.25">
      <c r="I11" s="2"/>
      <c r="J11" s="2"/>
      <c r="O11" s="1"/>
    </row>
    <row r="12" spans="1:18" x14ac:dyDescent="0.25">
      <c r="I12" s="2"/>
      <c r="J12" s="2"/>
      <c r="O12" s="1"/>
      <c r="Q12" s="1"/>
    </row>
    <row r="13" spans="1:18" x14ac:dyDescent="0.25">
      <c r="I13" s="2"/>
      <c r="J13" s="2"/>
      <c r="O13" s="1"/>
    </row>
    <row r="14" spans="1:18" x14ac:dyDescent="0.25">
      <c r="I14" s="2"/>
      <c r="J14" s="2"/>
      <c r="O14" s="1"/>
      <c r="P14" s="1"/>
      <c r="Q14" s="1"/>
    </row>
    <row r="15" spans="1:18" x14ac:dyDescent="0.25">
      <c r="I15" s="2"/>
      <c r="J15" s="2"/>
      <c r="O15" s="1"/>
      <c r="Q15" s="1"/>
    </row>
    <row r="16" spans="1:18" x14ac:dyDescent="0.25">
      <c r="I16" s="2"/>
      <c r="J16" s="2"/>
      <c r="O16" s="1"/>
    </row>
    <row r="17" spans="9:17" x14ac:dyDescent="0.25">
      <c r="I17" s="2"/>
      <c r="J17" s="2"/>
      <c r="O17" s="1"/>
    </row>
    <row r="18" spans="9:17" x14ac:dyDescent="0.25">
      <c r="I18" s="2"/>
      <c r="J18" s="2"/>
      <c r="O18" s="1"/>
    </row>
    <row r="19" spans="9:17" x14ac:dyDescent="0.25">
      <c r="I19" s="2"/>
      <c r="J19" s="2"/>
      <c r="O19" s="1"/>
      <c r="Q19" s="1"/>
    </row>
    <row r="20" spans="9:17" x14ac:dyDescent="0.25">
      <c r="I20" s="2"/>
      <c r="J20" s="2"/>
      <c r="O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3E90-B2DD-4B52-995F-6782A75EA621}">
  <dimension ref="A1:B4"/>
  <sheetViews>
    <sheetView workbookViewId="0">
      <selection activeCell="B4" sqref="A1:B4"/>
    </sheetView>
  </sheetViews>
  <sheetFormatPr baseColWidth="10" defaultRowHeight="15" x14ac:dyDescent="0.25"/>
  <cols>
    <col min="2" max="2" width="16.5703125" customWidth="1"/>
  </cols>
  <sheetData>
    <row r="1" spans="1:2" x14ac:dyDescent="0.25">
      <c r="A1">
        <v>1</v>
      </c>
      <c r="B1" s="3">
        <v>0.12</v>
      </c>
    </row>
    <row r="2" spans="1:2" x14ac:dyDescent="0.25">
      <c r="A2">
        <v>2</v>
      </c>
      <c r="B2" s="3">
        <v>0.15</v>
      </c>
    </row>
    <row r="3" spans="1:2" x14ac:dyDescent="0.25">
      <c r="A3">
        <v>3</v>
      </c>
      <c r="B3" t="s">
        <v>32</v>
      </c>
    </row>
    <row r="4" spans="1:2" x14ac:dyDescent="0.25">
      <c r="A4">
        <v>4</v>
      </c>
      <c r="B4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1AAD-6071-459F-AB54-BC460BFDB12C}">
  <dimension ref="A1:B14"/>
  <sheetViews>
    <sheetView workbookViewId="0">
      <selection activeCell="B39" sqref="A1:B39"/>
    </sheetView>
  </sheetViews>
  <sheetFormatPr baseColWidth="10" defaultRowHeight="15" x14ac:dyDescent="0.25"/>
  <sheetData>
    <row r="1" spans="1:2" x14ac:dyDescent="0.25">
      <c r="A1">
        <v>1</v>
      </c>
      <c r="B1" t="s">
        <v>8</v>
      </c>
    </row>
    <row r="2" spans="1:2" x14ac:dyDescent="0.25">
      <c r="A2">
        <v>2</v>
      </c>
      <c r="B2" t="s">
        <v>9</v>
      </c>
    </row>
    <row r="3" spans="1:2" x14ac:dyDescent="0.25">
      <c r="A3">
        <v>3</v>
      </c>
      <c r="B3" t="s">
        <v>10</v>
      </c>
    </row>
    <row r="4" spans="1:2" x14ac:dyDescent="0.25">
      <c r="A4">
        <v>4</v>
      </c>
      <c r="B4" t="s">
        <v>11</v>
      </c>
    </row>
    <row r="5" spans="1:2" x14ac:dyDescent="0.25">
      <c r="A5">
        <v>5</v>
      </c>
      <c r="B5" t="s">
        <v>12</v>
      </c>
    </row>
    <row r="6" spans="1:2" x14ac:dyDescent="0.25">
      <c r="A6">
        <v>6</v>
      </c>
      <c r="B6" t="s">
        <v>13</v>
      </c>
    </row>
    <row r="7" spans="1:2" x14ac:dyDescent="0.25">
      <c r="A7">
        <v>7</v>
      </c>
      <c r="B7" t="s">
        <v>14</v>
      </c>
    </row>
    <row r="8" spans="1:2" x14ac:dyDescent="0.25">
      <c r="A8">
        <v>8</v>
      </c>
      <c r="B8" t="s">
        <v>15</v>
      </c>
    </row>
    <row r="9" spans="1:2" x14ac:dyDescent="0.25">
      <c r="A9">
        <v>9</v>
      </c>
      <c r="B9" t="s">
        <v>36</v>
      </c>
    </row>
    <row r="10" spans="1:2" x14ac:dyDescent="0.25">
      <c r="A10">
        <v>10</v>
      </c>
      <c r="B10" t="s">
        <v>37</v>
      </c>
    </row>
    <row r="11" spans="1:2" x14ac:dyDescent="0.25">
      <c r="A11">
        <v>11</v>
      </c>
      <c r="B11" t="s">
        <v>38</v>
      </c>
    </row>
    <row r="12" spans="1:2" x14ac:dyDescent="0.25">
      <c r="A12">
        <v>12</v>
      </c>
      <c r="B12" t="s">
        <v>39</v>
      </c>
    </row>
    <row r="13" spans="1:2" x14ac:dyDescent="0.25">
      <c r="A13">
        <v>15</v>
      </c>
      <c r="B13" t="s">
        <v>40</v>
      </c>
    </row>
    <row r="14" spans="1:2" x14ac:dyDescent="0.25">
      <c r="A14">
        <v>16</v>
      </c>
      <c r="B14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A87F-DF5C-43D3-9245-C0E34E90E162}">
  <dimension ref="A1:B8"/>
  <sheetViews>
    <sheetView workbookViewId="0">
      <selection sqref="A1:B38"/>
    </sheetView>
  </sheetViews>
  <sheetFormatPr baseColWidth="10" defaultRowHeight="15" x14ac:dyDescent="0.25"/>
  <cols>
    <col min="2" max="2" width="19.42578125" customWidth="1"/>
  </cols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2</v>
      </c>
    </row>
    <row r="4" spans="1:2" x14ac:dyDescent="0.25">
      <c r="A4">
        <v>4</v>
      </c>
      <c r="B4" t="s">
        <v>3</v>
      </c>
    </row>
    <row r="5" spans="1:2" x14ac:dyDescent="0.25">
      <c r="A5">
        <v>5</v>
      </c>
      <c r="B5" t="s">
        <v>4</v>
      </c>
    </row>
    <row r="6" spans="1:2" x14ac:dyDescent="0.25">
      <c r="A6">
        <v>6</v>
      </c>
      <c r="B6" t="s">
        <v>5</v>
      </c>
    </row>
    <row r="7" spans="1:2" x14ac:dyDescent="0.25">
      <c r="A7">
        <v>7</v>
      </c>
      <c r="B7" t="s">
        <v>6</v>
      </c>
    </row>
    <row r="8" spans="1:2" x14ac:dyDescent="0.25">
      <c r="A8">
        <v>9</v>
      </c>
      <c r="B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Hoja1</vt:lpstr>
      <vt:lpstr>impuestos</vt:lpstr>
      <vt:lpstr>tipos</vt:lpstr>
      <vt:lpstr>marcas</vt:lpstr>
      <vt:lpstr>impuestos</vt:lpstr>
      <vt:lpstr>marcas</vt:lpstr>
      <vt:lpstr>tipArticulos</vt:lpstr>
      <vt:lpstr>tiposArticulos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Coronel Benitez</dc:creator>
  <cp:lastModifiedBy>Wilson Coronel Benitez</cp:lastModifiedBy>
  <dcterms:created xsi:type="dcterms:W3CDTF">2025-11-04T20:42:45Z</dcterms:created>
  <dcterms:modified xsi:type="dcterms:W3CDTF">2025-11-06T03:20:27Z</dcterms:modified>
</cp:coreProperties>
</file>