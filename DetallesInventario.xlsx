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OMSLAYER\Desktop\TiendaLaLojanita\"/>
    </mc:Choice>
  </mc:AlternateContent>
  <xr:revisionPtr revIDLastSave="0" documentId="13_ncr:1_{D4766E80-FC8C-4BF9-B9C6-4906749F5D9A}" xr6:coauthVersionLast="47" xr6:coauthVersionMax="47" xr10:uidLastSave="{00000000-0000-0000-0000-000000000000}"/>
  <bookViews>
    <workbookView xWindow="-120" yWindow="-120" windowWidth="38640" windowHeight="15990" xr2:uid="{5019868B-604A-4B4F-9F75-F60F281A42CB}"/>
  </bookViews>
  <sheets>
    <sheet name="Hoja1" sheetId="1" r:id="rId1"/>
    <sheet name="Articulos" sheetId="2" r:id="rId2"/>
    <sheet name="Impuestos" sheetId="4" r:id="rId3"/>
    <sheet name="Transacciones" sheetId="3" r:id="rId4"/>
  </sheets>
  <definedNames>
    <definedName name="Articulos">Articulos!$A:$A</definedName>
    <definedName name="ArticulosDetVal">Articulos!$A:$D</definedName>
    <definedName name="articulosfin">Articulos!$A:$H</definedName>
    <definedName name="impuestos">Impuestos!$A:$B</definedName>
    <definedName name="transacciones">Transacciones!$A:$B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1" l="1"/>
  <c r="E2" i="1" s="1"/>
  <c r="G2" i="1" s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" i="2"/>
  <c r="C2" i="1" l="1"/>
  <c r="H2" i="1"/>
  <c r="F2" i="1"/>
  <c r="A8" i="1"/>
  <c r="F8" i="1" s="1"/>
  <c r="A4" i="1"/>
  <c r="E4" i="1" s="1"/>
  <c r="G4" i="1" s="1"/>
  <c r="A9" i="1"/>
  <c r="H9" i="1" s="1"/>
  <c r="A7" i="1"/>
  <c r="E7" i="1" s="1"/>
  <c r="G7" i="1" s="1"/>
  <c r="A11" i="1"/>
  <c r="H11" i="1" s="1"/>
  <c r="A6" i="1"/>
  <c r="C6" i="1" s="1"/>
  <c r="A10" i="1"/>
  <c r="C10" i="1" s="1"/>
  <c r="A3" i="1"/>
  <c r="F3" i="1" s="1"/>
  <c r="A5" i="1"/>
  <c r="E5" i="1" s="1"/>
  <c r="G5" i="1" s="1"/>
  <c r="E10" i="1" l="1"/>
  <c r="G10" i="1" s="1"/>
  <c r="H4" i="1"/>
  <c r="H10" i="1"/>
  <c r="F5" i="1"/>
  <c r="H7" i="1"/>
  <c r="C4" i="1"/>
  <c r="E8" i="1"/>
  <c r="G8" i="1" s="1"/>
  <c r="E6" i="1"/>
  <c r="G6" i="1" s="1"/>
  <c r="F10" i="1"/>
  <c r="H6" i="1"/>
  <c r="F6" i="1"/>
  <c r="F7" i="1"/>
  <c r="F4" i="1"/>
  <c r="C8" i="1"/>
  <c r="F11" i="1"/>
  <c r="H8" i="1"/>
  <c r="E11" i="1"/>
  <c r="G11" i="1" s="1"/>
  <c r="C7" i="1"/>
  <c r="C5" i="1"/>
  <c r="E3" i="1"/>
  <c r="G3" i="1" s="1"/>
  <c r="H5" i="1"/>
  <c r="H3" i="1"/>
  <c r="C11" i="1"/>
  <c r="C9" i="1"/>
  <c r="F9" i="1"/>
  <c r="C3" i="1"/>
  <c r="E9" i="1"/>
  <c r="G9" i="1" s="1"/>
</calcChain>
</file>

<file path=xl/sharedStrings.xml><?xml version="1.0" encoding="utf-8"?>
<sst xmlns="http://schemas.openxmlformats.org/spreadsheetml/2006/main" count="73" uniqueCount="50">
  <si>
    <t>Id</t>
  </si>
  <si>
    <t>IdArticulo</t>
  </si>
  <si>
    <t>Cantidad</t>
  </si>
  <si>
    <t>Nombre</t>
  </si>
  <si>
    <t>ATUN</t>
  </si>
  <si>
    <t>Aceite vegetal</t>
  </si>
  <si>
    <t>Sardina</t>
  </si>
  <si>
    <t>Aceite</t>
  </si>
  <si>
    <t>Duraznos</t>
  </si>
  <si>
    <t>Embutido</t>
  </si>
  <si>
    <t>Arroz</t>
  </si>
  <si>
    <t>avena</t>
  </si>
  <si>
    <t>BIG COLA</t>
  </si>
  <si>
    <t>CANITAS</t>
  </si>
  <si>
    <t>POLLO</t>
  </si>
  <si>
    <t>NUGETS POLLO</t>
  </si>
  <si>
    <t>PAN</t>
  </si>
  <si>
    <t>PEPSI</t>
  </si>
  <si>
    <t>ESFERO ROJO</t>
  </si>
  <si>
    <t>ATUN GR 140</t>
  </si>
  <si>
    <t>ACHIOTE ACEITE ML 150</t>
  </si>
  <si>
    <t>ATUN GR 140 GR 140</t>
  </si>
  <si>
    <t>ESFEROS NEGRO PUNTA FINA</t>
  </si>
  <si>
    <t>ESFEROS AZUL</t>
  </si>
  <si>
    <t>ESFERO ROJO PUNTA MEDIA</t>
  </si>
  <si>
    <t>Compra</t>
  </si>
  <si>
    <t>Venta</t>
  </si>
  <si>
    <t>Reversion</t>
  </si>
  <si>
    <t>Descripcion</t>
  </si>
  <si>
    <t>ValorCompra</t>
  </si>
  <si>
    <t>ValorVenta</t>
  </si>
  <si>
    <t>ValorTotal</t>
  </si>
  <si>
    <t>ImpuestoValor</t>
  </si>
  <si>
    <t>pruebas</t>
  </si>
  <si>
    <t>Sardina en aceite</t>
  </si>
  <si>
    <t>Aceite girasol edicion</t>
  </si>
  <si>
    <t>LIBRAS</t>
  </si>
  <si>
    <t>Articulo</t>
  </si>
  <si>
    <t>IdImpuesto</t>
  </si>
  <si>
    <t>ATÚN</t>
  </si>
  <si>
    <t>preubas edicion</t>
  </si>
  <si>
    <t>Duraznos en almibar</t>
  </si>
  <si>
    <t>embutido juris</t>
  </si>
  <si>
    <t>ATUN 140 GR</t>
  </si>
  <si>
    <t>avena por libras</t>
  </si>
  <si>
    <t>PAN CHOCOLATE</t>
  </si>
  <si>
    <t>PUNTA FINA</t>
  </si>
  <si>
    <t>ESFEROS</t>
  </si>
  <si>
    <t>ESFEROS PUNTA FINA</t>
  </si>
  <si>
    <t>ValorImpuesto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</si>
</sst>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2" fontId="0" fillId="0" borderId="0" xfId="0" applyNumberFormat="1"/>
    <xf numFmtId="1" fontId="0" fillId="0" borderId="0" xfId="0" applyNumberFormat="1"/>
    <xf numFmtId="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CD15E-76F1-457F-96FF-1330D3D3C038}">
  <dimension ref="A1:H18"/>
  <sheetViews>
    <sheetView tabSelected="1" workbookViewId="0">
      <selection activeCell="A2" sqref="A2"/>
    </sheetView>
  </sheetViews>
  <sheetFormatPr baseColWidth="10" defaultRowHeight="15" x14ac:dyDescent="0.25"/>
  <cols>
    <col min="1" max="1" width="28.140625" customWidth="1"/>
    <col min="2" max="2" width="32.5703125" customWidth="1"/>
    <col min="3" max="3" width="20.28515625" customWidth="1"/>
    <col min="5" max="5" width="11.85546875" bestFit="1" customWidth="1"/>
  </cols>
  <sheetData>
    <row r="1" spans="1:8" x14ac:dyDescent="0.25">
      <c r="A1" t="s">
        <v>1</v>
      </c>
      <c r="B1" t="s">
        <v>37</v>
      </c>
      <c r="C1" t="s">
        <v>28</v>
      </c>
      <c r="D1" t="s">
        <v>2</v>
      </c>
      <c r="E1" t="s">
        <v>29</v>
      </c>
      <c r="F1" t="s">
        <v>30</v>
      </c>
      <c r="G1" t="s">
        <v>31</v>
      </c>
      <c r="H1" t="s">
        <v>32</v>
      </c>
    </row>
    <row r="2" spans="1:8" x14ac:dyDescent="0.25">
      <c r="A2" t="e">
        <f>VLOOKUP(B2,articulosfin,4,FALSE)</f>
        <v>#N/A</v>
      </c>
      <c r="B2" s="5" t="s">
        <v>10</v>
      </c>
      <c r="C2" t="e">
        <f t="shared" ref="C2:C11" si="0">VLOOKUP(A2,articulosfin,5,FALSE)</f>
        <v>#N/A</v>
      </c>
      <c r="D2" s="3">
        <v>2</v>
      </c>
      <c r="E2" t="e">
        <f t="shared" ref="E2:E11" si="1">VLOOKUP(A2,articulosfin,6,FALSE)</f>
        <v>#N/A</v>
      </c>
      <c r="F2" s="2" t="e">
        <f t="shared" ref="F2:F11" si="2">VLOOKUP(A2,articulosfin,7,FALSE)</f>
        <v>#N/A</v>
      </c>
      <c r="G2" s="2" t="e">
        <f>D2*E2</f>
        <v>#N/A</v>
      </c>
      <c r="H2" s="2" t="e">
        <f t="shared" ref="H2:H11" si="3">VLOOKUP(A2,articulosfin,3,FALSE)</f>
        <v>#N/A</v>
      </c>
    </row>
    <row r="3" spans="1:8" x14ac:dyDescent="0.25">
      <c r="A3" t="e">
        <f>VLOOKUP(B3,articulosfin,4,FALSE)</f>
        <v>#N/A</v>
      </c>
      <c r="B3" s="5" t="s">
        <v>8</v>
      </c>
      <c r="C3" t="e">
        <f t="shared" si="0"/>
        <v>#N/A</v>
      </c>
      <c r="D3">
        <v>2</v>
      </c>
      <c r="E3" t="e">
        <f t="shared" si="1"/>
        <v>#N/A</v>
      </c>
      <c r="F3" s="2" t="e">
        <f t="shared" si="2"/>
        <v>#N/A</v>
      </c>
      <c r="G3" s="2" t="e">
        <f t="shared" ref="G3:G11" si="4">D3*E3</f>
        <v>#N/A</v>
      </c>
      <c r="H3" s="2" t="e">
        <f t="shared" si="3"/>
        <v>#N/A</v>
      </c>
    </row>
    <row r="4" spans="1:8" x14ac:dyDescent="0.25">
      <c r="A4" t="e">
        <f>VLOOKUP(B4,articulosfin,4,FALSE)</f>
        <v>#N/A</v>
      </c>
      <c r="B4" s="5" t="s">
        <v>5</v>
      </c>
      <c r="C4" t="e">
        <f t="shared" si="0"/>
        <v>#N/A</v>
      </c>
      <c r="D4">
        <v>2</v>
      </c>
      <c r="E4" t="e">
        <f t="shared" si="1"/>
        <v>#N/A</v>
      </c>
      <c r="F4" s="2" t="e">
        <f t="shared" si="2"/>
        <v>#N/A</v>
      </c>
      <c r="G4" s="2" t="e">
        <f t="shared" si="4"/>
        <v>#N/A</v>
      </c>
      <c r="H4" s="2" t="e">
        <f t="shared" si="3"/>
        <v>#N/A</v>
      </c>
    </row>
    <row r="5" spans="1:8" x14ac:dyDescent="0.25">
      <c r="A5" t="e">
        <f>VLOOKUP(B5,articulosfin,4,FALSE)</f>
        <v>#N/A</v>
      </c>
      <c r="B5" s="5" t="s">
        <v>9</v>
      </c>
      <c r="C5" t="e">
        <f t="shared" si="0"/>
        <v>#N/A</v>
      </c>
      <c r="D5">
        <v>2</v>
      </c>
      <c r="E5" t="e">
        <f t="shared" si="1"/>
        <v>#N/A</v>
      </c>
      <c r="F5" s="2" t="e">
        <f t="shared" si="2"/>
        <v>#N/A</v>
      </c>
      <c r="G5" s="2" t="e">
        <f t="shared" si="4"/>
        <v>#N/A</v>
      </c>
      <c r="H5" s="2" t="e">
        <f t="shared" si="3"/>
        <v>#N/A</v>
      </c>
    </row>
    <row r="6" spans="1:8" x14ac:dyDescent="0.25">
      <c r="A6" t="e">
        <f>VLOOKUP(B6,articulosfin,4,FALSE)</f>
        <v>#N/A</v>
      </c>
      <c r="B6" s="5" t="s">
        <v>9</v>
      </c>
      <c r="C6" t="e">
        <f t="shared" si="0"/>
        <v>#N/A</v>
      </c>
      <c r="D6">
        <v>1</v>
      </c>
      <c r="E6" t="e">
        <f t="shared" si="1"/>
        <v>#N/A</v>
      </c>
      <c r="F6" s="2" t="e">
        <f t="shared" si="2"/>
        <v>#N/A</v>
      </c>
      <c r="G6" s="2" t="e">
        <f t="shared" si="4"/>
        <v>#N/A</v>
      </c>
      <c r="H6" s="2" t="e">
        <f t="shared" si="3"/>
        <v>#N/A</v>
      </c>
    </row>
    <row r="7" spans="1:8" x14ac:dyDescent="0.25">
      <c r="A7" t="e">
        <f>VLOOKUP(B7,articulosfin,4,FALSE)</f>
        <v>#N/A</v>
      </c>
      <c r="B7" s="5" t="s">
        <v>5</v>
      </c>
      <c r="C7" t="e">
        <f t="shared" si="0"/>
        <v>#N/A</v>
      </c>
      <c r="D7">
        <v>1</v>
      </c>
      <c r="E7" t="e">
        <f t="shared" si="1"/>
        <v>#N/A</v>
      </c>
      <c r="F7" s="2" t="e">
        <f t="shared" si="2"/>
        <v>#N/A</v>
      </c>
      <c r="G7" s="2" t="e">
        <f t="shared" si="4"/>
        <v>#N/A</v>
      </c>
      <c r="H7" s="2" t="e">
        <f t="shared" si="3"/>
        <v>#N/A</v>
      </c>
    </row>
    <row r="8" spans="1:8" x14ac:dyDescent="0.25">
      <c r="A8" t="e">
        <f>VLOOKUP(B8,articulosfin,4,FALSE)</f>
        <v>#N/A</v>
      </c>
      <c r="B8" s="5" t="s">
        <v>5</v>
      </c>
      <c r="C8" t="e">
        <f t="shared" si="0"/>
        <v>#N/A</v>
      </c>
      <c r="D8">
        <v>6</v>
      </c>
      <c r="E8" t="e">
        <f t="shared" si="1"/>
        <v>#N/A</v>
      </c>
      <c r="F8" s="2" t="e">
        <f t="shared" si="2"/>
        <v>#N/A</v>
      </c>
      <c r="G8" s="2" t="e">
        <f t="shared" si="4"/>
        <v>#N/A</v>
      </c>
      <c r="H8" s="2" t="e">
        <f t="shared" si="3"/>
        <v>#N/A</v>
      </c>
    </row>
    <row r="9" spans="1:8" x14ac:dyDescent="0.25">
      <c r="A9" t="e">
        <f>VLOOKUP(B9,articulosfin,4,FALSE)</f>
        <v>#N/A</v>
      </c>
      <c r="B9" s="5" t="s">
        <v>5</v>
      </c>
      <c r="C9" t="e">
        <f t="shared" si="0"/>
        <v>#N/A</v>
      </c>
      <c r="D9">
        <v>6</v>
      </c>
      <c r="E9" t="e">
        <f t="shared" si="1"/>
        <v>#N/A</v>
      </c>
      <c r="F9" s="2" t="e">
        <f t="shared" si="2"/>
        <v>#N/A</v>
      </c>
      <c r="G9" s="2" t="e">
        <f t="shared" si="4"/>
        <v>#N/A</v>
      </c>
      <c r="H9" s="2" t="e">
        <f t="shared" si="3"/>
        <v>#N/A</v>
      </c>
    </row>
    <row r="10" spans="1:8" x14ac:dyDescent="0.25">
      <c r="A10" t="e">
        <f>VLOOKUP(B10,articulosfin,4,FALSE)</f>
        <v>#N/A</v>
      </c>
      <c r="B10" s="5" t="s">
        <v>5</v>
      </c>
      <c r="C10" t="e">
        <f t="shared" si="0"/>
        <v>#N/A</v>
      </c>
      <c r="D10">
        <v>6</v>
      </c>
      <c r="E10" t="e">
        <f t="shared" si="1"/>
        <v>#N/A</v>
      </c>
      <c r="F10" s="2" t="e">
        <f t="shared" si="2"/>
        <v>#N/A</v>
      </c>
      <c r="G10" s="2" t="e">
        <f t="shared" si="4"/>
        <v>#N/A</v>
      </c>
      <c r="H10" s="2" t="e">
        <f t="shared" si="3"/>
        <v>#N/A</v>
      </c>
    </row>
    <row r="11" spans="1:8" x14ac:dyDescent="0.25">
      <c r="A11" t="e">
        <f>VLOOKUP(B11,articulosfin,4,FALSE)</f>
        <v>#N/A</v>
      </c>
      <c r="B11" s="5" t="s">
        <v>5</v>
      </c>
      <c r="C11" t="e">
        <f t="shared" si="0"/>
        <v>#N/A</v>
      </c>
      <c r="D11">
        <v>7</v>
      </c>
      <c r="E11" t="e">
        <f t="shared" si="1"/>
        <v>#N/A</v>
      </c>
      <c r="F11" s="2" t="e">
        <f t="shared" si="2"/>
        <v>#N/A</v>
      </c>
      <c r="G11" s="2" t="e">
        <f t="shared" si="4"/>
        <v>#N/A</v>
      </c>
      <c r="H11" s="2" t="e">
        <f t="shared" si="3"/>
        <v>#N/A</v>
      </c>
    </row>
    <row r="13" spans="1:8" x14ac:dyDescent="0.25">
      <c r="F13" s="1"/>
    </row>
    <row r="15" spans="1:8" x14ac:dyDescent="0.25">
      <c r="F15" s="1"/>
    </row>
    <row r="16" spans="1:8" x14ac:dyDescent="0.25">
      <c r="F16" s="1"/>
    </row>
    <row r="17" spans="5:6" x14ac:dyDescent="0.25">
      <c r="F17" s="1"/>
    </row>
    <row r="18" spans="5:6" x14ac:dyDescent="0.25">
      <c r="E18" s="1"/>
      <c r="F18" s="1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Error " error="Ingreso no valido!!" xr:uid="{D0BD2494-7E2A-4B6B-BC2E-2E9DAF154505}">
          <x14:formula1>
            <xm:f>Articulos!$D$2:$D$446</xm:f>
          </x14:formula1>
          <xm:sqref>B2:B11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1A42F-6255-4B24-8C10-1D11E86ED2F1}">
  <dimension ref="A1:G26"/>
  <sheetViews>
    <sheetView workbookViewId="0">
      <selection sqref="A1:H1048576"/>
    </sheetView>
  </sheetViews>
  <sheetFormatPr baseColWidth="10" defaultRowHeight="15" x14ac:dyDescent="0.25"/>
  <cols>
    <col min="3" max="3" width="21.5703125" customWidth="1"/>
    <col min="4" max="4" width="25.28515625" customWidth="1"/>
  </cols>
  <sheetData>
    <row r="1" spans="1:7" x14ac:dyDescent="0.25">
      <c r="A1" t="s">
        <v>0</v>
      </c>
      <c r="B1" t="s">
        <v>38</v>
      </c>
      <c r="C1" t="s">
        <v>49</v>
      </c>
      <c r="D1" t="s">
        <v>3</v>
      </c>
      <c r="E1" t="s">
        <v>28</v>
      </c>
      <c r="F1" t="s">
        <v>29</v>
      </c>
      <c r="G1" t="s">
        <v>30</v>
      </c>
    </row>
    <row r="2" spans="1:7" x14ac:dyDescent="0.25">
      <c r="A2">
        <v>2</v>
      </c>
      <c r="B2">
        <v>4</v>
      </c>
      <c r="C2" s="2">
        <f t="shared" ref="C2:C26" si="0">VLOOKUP(B2,impuestos,2,FALSE)</f>
        <v>0</v>
      </c>
      <c r="D2" s="5" t="s">
        <v>4</v>
      </c>
      <c r="E2" t="s">
        <v>39</v>
      </c>
      <c r="F2" s="4">
        <v>1.2</v>
      </c>
      <c r="G2" s="4">
        <v>1.5</v>
      </c>
    </row>
    <row r="3" spans="1:7" x14ac:dyDescent="0.25">
      <c r="A3">
        <v>4</v>
      </c>
      <c r="B3">
        <v>4</v>
      </c>
      <c r="C3" s="2">
        <f t="shared" si="0"/>
        <v>0</v>
      </c>
      <c r="D3" s="5" t="s">
        <v>5</v>
      </c>
      <c r="E3" t="s">
        <v>40</v>
      </c>
      <c r="F3" s="4">
        <v>0.85</v>
      </c>
      <c r="G3" s="4">
        <v>1</v>
      </c>
    </row>
    <row r="4" spans="1:7" x14ac:dyDescent="0.25">
      <c r="A4">
        <v>6</v>
      </c>
      <c r="B4">
        <v>4</v>
      </c>
      <c r="C4" s="2">
        <f t="shared" si="0"/>
        <v>0</v>
      </c>
      <c r="D4" s="5" t="s">
        <v>6</v>
      </c>
      <c r="E4" t="s">
        <v>34</v>
      </c>
      <c r="F4" s="4">
        <v>0.6</v>
      </c>
      <c r="G4" s="4">
        <v>0.85</v>
      </c>
    </row>
    <row r="5" spans="1:7" x14ac:dyDescent="0.25">
      <c r="A5">
        <v>7</v>
      </c>
      <c r="B5">
        <v>4</v>
      </c>
      <c r="C5" s="2">
        <f t="shared" si="0"/>
        <v>0</v>
      </c>
      <c r="D5" s="5" t="s">
        <v>7</v>
      </c>
      <c r="E5" t="s">
        <v>35</v>
      </c>
      <c r="F5" s="4">
        <v>0.85</v>
      </c>
      <c r="G5" s="4">
        <v>1</v>
      </c>
    </row>
    <row r="6" spans="1:7" x14ac:dyDescent="0.25">
      <c r="A6">
        <v>8</v>
      </c>
      <c r="B6">
        <v>4</v>
      </c>
      <c r="C6" s="2">
        <f t="shared" si="0"/>
        <v>0</v>
      </c>
      <c r="D6" s="5" t="s">
        <v>8</v>
      </c>
      <c r="E6" t="s">
        <v>41</v>
      </c>
      <c r="F6" s="4">
        <v>0.85</v>
      </c>
      <c r="G6" s="4">
        <v>1</v>
      </c>
    </row>
    <row r="7" spans="1:7" x14ac:dyDescent="0.25">
      <c r="A7">
        <v>9</v>
      </c>
      <c r="B7">
        <v>4</v>
      </c>
      <c r="C7" s="2">
        <f t="shared" si="0"/>
        <v>0</v>
      </c>
      <c r="D7" s="5" t="s">
        <v>9</v>
      </c>
      <c r="E7" t="s">
        <v>42</v>
      </c>
      <c r="F7" s="4">
        <v>0.85</v>
      </c>
      <c r="G7" s="4">
        <v>1</v>
      </c>
    </row>
    <row r="8" spans="1:7" x14ac:dyDescent="0.25">
      <c r="A8">
        <v>10</v>
      </c>
      <c r="B8">
        <v>4</v>
      </c>
      <c r="C8" s="2">
        <f t="shared" si="0"/>
        <v>0</v>
      </c>
      <c r="D8" s="5" t="s">
        <v>10</v>
      </c>
      <c r="E8" t="s">
        <v>33</v>
      </c>
      <c r="F8" s="4">
        <v>0.45</v>
      </c>
      <c r="G8" s="4">
        <v>0.6</v>
      </c>
    </row>
    <row r="9" spans="1:7" x14ac:dyDescent="0.25">
      <c r="A9">
        <v>11</v>
      </c>
      <c r="B9">
        <v>4</v>
      </c>
      <c r="C9" s="2">
        <f t="shared" si="0"/>
        <v>0</v>
      </c>
      <c r="D9" s="5" t="s">
        <v>4</v>
      </c>
      <c r="E9" t="s">
        <v>43</v>
      </c>
      <c r="F9" s="4">
        <v>0.85</v>
      </c>
      <c r="G9" s="4">
        <v>1</v>
      </c>
    </row>
    <row r="10" spans="1:7" x14ac:dyDescent="0.25">
      <c r="A10">
        <v>23</v>
      </c>
      <c r="B10">
        <v>4</v>
      </c>
      <c r="C10" s="2">
        <f t="shared" si="0"/>
        <v>0</v>
      </c>
      <c r="D10" s="5" t="s">
        <v>11</v>
      </c>
      <c r="E10" t="s">
        <v>44</v>
      </c>
      <c r="F10" s="4">
        <v>0.42</v>
      </c>
      <c r="G10" s="4">
        <v>0.5</v>
      </c>
    </row>
    <row r="11" spans="1:7" x14ac:dyDescent="0.25">
      <c r="A11">
        <v>24</v>
      </c>
      <c r="B11">
        <v>4</v>
      </c>
      <c r="C11" s="2">
        <f t="shared" si="0"/>
        <v>0</v>
      </c>
      <c r="D11" s="5" t="s">
        <v>12</v>
      </c>
      <c r="F11" s="4">
        <v>0.42</v>
      </c>
      <c r="G11" s="4">
        <v>0.5</v>
      </c>
    </row>
    <row r="12" spans="1:7" x14ac:dyDescent="0.25">
      <c r="A12">
        <v>25</v>
      </c>
      <c r="B12">
        <v>4</v>
      </c>
      <c r="C12" s="2">
        <f t="shared" si="0"/>
        <v>0</v>
      </c>
      <c r="D12" s="5" t="s">
        <v>12</v>
      </c>
      <c r="F12" s="4">
        <v>0.8</v>
      </c>
      <c r="G12" s="4">
        <v>1</v>
      </c>
    </row>
    <row r="13" spans="1:7" x14ac:dyDescent="0.25">
      <c r="A13">
        <v>26</v>
      </c>
      <c r="B13">
        <v>4</v>
      </c>
      <c r="C13" s="2">
        <f t="shared" si="0"/>
        <v>0</v>
      </c>
      <c r="D13" s="5" t="s">
        <v>13</v>
      </c>
      <c r="E13" t="s">
        <v>45</v>
      </c>
      <c r="F13" s="4">
        <v>0.12</v>
      </c>
      <c r="G13" s="4">
        <v>0.15</v>
      </c>
    </row>
    <row r="14" spans="1:7" x14ac:dyDescent="0.25">
      <c r="A14">
        <v>27</v>
      </c>
      <c r="B14">
        <v>4</v>
      </c>
      <c r="C14" s="2">
        <f t="shared" si="0"/>
        <v>0</v>
      </c>
      <c r="D14" s="5" t="s">
        <v>14</v>
      </c>
      <c r="E14" t="s">
        <v>36</v>
      </c>
      <c r="F14" s="4">
        <v>1.05</v>
      </c>
      <c r="G14" s="4">
        <v>1.3</v>
      </c>
    </row>
    <row r="15" spans="1:7" x14ac:dyDescent="0.25">
      <c r="A15">
        <v>28</v>
      </c>
      <c r="B15">
        <v>4</v>
      </c>
      <c r="C15" s="2">
        <f t="shared" si="0"/>
        <v>0</v>
      </c>
      <c r="D15" s="5" t="s">
        <v>15</v>
      </c>
      <c r="F15" s="4">
        <v>0.9</v>
      </c>
      <c r="G15" s="4">
        <v>1</v>
      </c>
    </row>
    <row r="16" spans="1:7" x14ac:dyDescent="0.25">
      <c r="A16">
        <v>29</v>
      </c>
      <c r="B16">
        <v>4</v>
      </c>
      <c r="C16" s="2">
        <f t="shared" si="0"/>
        <v>0</v>
      </c>
      <c r="D16" s="5" t="s">
        <v>16</v>
      </c>
      <c r="F16" s="4">
        <v>0.1</v>
      </c>
      <c r="G16" s="4">
        <v>0.12</v>
      </c>
    </row>
    <row r="17" spans="1:7" x14ac:dyDescent="0.25">
      <c r="A17">
        <v>30</v>
      </c>
      <c r="B17">
        <v>4</v>
      </c>
      <c r="C17" s="2">
        <f t="shared" si="0"/>
        <v>0</v>
      </c>
      <c r="D17" s="5" t="s">
        <v>17</v>
      </c>
      <c r="F17" s="4">
        <v>0.21</v>
      </c>
      <c r="G17" s="4">
        <v>0.25</v>
      </c>
    </row>
    <row r="18" spans="1:7" x14ac:dyDescent="0.25">
      <c r="A18">
        <v>31</v>
      </c>
      <c r="B18">
        <v>4</v>
      </c>
      <c r="C18" s="2">
        <f t="shared" si="0"/>
        <v>0</v>
      </c>
      <c r="D18" s="5" t="s">
        <v>17</v>
      </c>
      <c r="F18" s="4">
        <v>0.43</v>
      </c>
      <c r="G18" s="4">
        <v>0.5</v>
      </c>
    </row>
    <row r="19" spans="1:7" x14ac:dyDescent="0.25">
      <c r="A19">
        <v>32</v>
      </c>
      <c r="B19">
        <v>4</v>
      </c>
      <c r="C19" s="2">
        <f t="shared" si="0"/>
        <v>0</v>
      </c>
      <c r="D19" s="5" t="s">
        <v>17</v>
      </c>
      <c r="F19" s="4">
        <v>0.87</v>
      </c>
      <c r="G19" s="4">
        <v>1</v>
      </c>
    </row>
    <row r="20" spans="1:7" x14ac:dyDescent="0.25">
      <c r="A20">
        <v>33</v>
      </c>
      <c r="B20">
        <v>4</v>
      </c>
      <c r="C20" s="2">
        <f t="shared" si="0"/>
        <v>0</v>
      </c>
      <c r="D20" s="5" t="s">
        <v>18</v>
      </c>
      <c r="E20" t="s">
        <v>46</v>
      </c>
      <c r="F20" s="4">
        <v>0.28000000000000003</v>
      </c>
      <c r="G20" s="4">
        <v>0.4</v>
      </c>
    </row>
    <row r="21" spans="1:7" x14ac:dyDescent="0.25">
      <c r="A21">
        <v>49</v>
      </c>
      <c r="B21">
        <v>4</v>
      </c>
      <c r="C21" s="2">
        <f t="shared" si="0"/>
        <v>0</v>
      </c>
      <c r="D21" s="5" t="s">
        <v>19</v>
      </c>
      <c r="E21" t="s">
        <v>43</v>
      </c>
      <c r="F21" s="4">
        <v>0.82</v>
      </c>
      <c r="G21" s="4">
        <v>1</v>
      </c>
    </row>
    <row r="22" spans="1:7" x14ac:dyDescent="0.25">
      <c r="A22">
        <v>50</v>
      </c>
      <c r="B22">
        <v>4</v>
      </c>
      <c r="C22" s="2">
        <f t="shared" si="0"/>
        <v>0</v>
      </c>
      <c r="D22" s="5" t="s">
        <v>20</v>
      </c>
      <c r="F22" s="4">
        <v>0.4</v>
      </c>
      <c r="G22" s="4">
        <v>0.5</v>
      </c>
    </row>
    <row r="23" spans="1:7" x14ac:dyDescent="0.25">
      <c r="A23">
        <v>51</v>
      </c>
      <c r="B23">
        <v>4</v>
      </c>
      <c r="C23" s="2">
        <f t="shared" si="0"/>
        <v>0</v>
      </c>
      <c r="D23" s="5" t="s">
        <v>21</v>
      </c>
      <c r="F23" s="4">
        <v>0.8</v>
      </c>
      <c r="G23" s="4">
        <v>1</v>
      </c>
    </row>
    <row r="24" spans="1:7" x14ac:dyDescent="0.25">
      <c r="A24">
        <v>52</v>
      </c>
      <c r="B24">
        <v>4</v>
      </c>
      <c r="C24" s="2">
        <f t="shared" si="0"/>
        <v>0</v>
      </c>
      <c r="D24" s="5" t="s">
        <v>22</v>
      </c>
      <c r="E24" t="s">
        <v>47</v>
      </c>
      <c r="F24" s="4">
        <v>0.25</v>
      </c>
      <c r="G24" s="4">
        <v>0.4</v>
      </c>
    </row>
    <row r="25" spans="1:7" x14ac:dyDescent="0.25">
      <c r="A25">
        <v>53</v>
      </c>
      <c r="B25">
        <v>4</v>
      </c>
      <c r="C25" s="2">
        <f t="shared" si="0"/>
        <v>0</v>
      </c>
      <c r="D25" s="5" t="s">
        <v>23</v>
      </c>
      <c r="E25" t="s">
        <v>48</v>
      </c>
      <c r="F25" s="4">
        <v>0.25</v>
      </c>
      <c r="G25" s="4">
        <v>0.4</v>
      </c>
    </row>
    <row r="26" spans="1:7" x14ac:dyDescent="0.25">
      <c r="A26">
        <v>54</v>
      </c>
      <c r="B26">
        <v>4</v>
      </c>
      <c r="C26" s="2">
        <f t="shared" si="0"/>
        <v>0</v>
      </c>
      <c r="D26" s="5" t="s">
        <v>24</v>
      </c>
      <c r="E26" t="s">
        <v>47</v>
      </c>
      <c r="F26" s="4">
        <v>0.22</v>
      </c>
      <c r="G26" s="4">
        <v>0.35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79D1D-7649-4300-ADEF-F6F3F795595E}">
  <dimension ref="A1:B5"/>
  <sheetViews>
    <sheetView workbookViewId="0">
      <selection sqref="A1:B1048576"/>
    </sheetView>
  </sheetViews>
  <sheetFormatPr baseColWidth="10" defaultRowHeight="15" x14ac:dyDescent="0.25"/>
  <sheetData>
    <row r="1" spans="1:2" x14ac:dyDescent="0.25">
      <c r="A1" t="s">
        <v>0</v>
      </c>
      <c r="B1" t="s">
        <v>49</v>
      </c>
    </row>
    <row r="2" spans="1:2" x14ac:dyDescent="0.25">
      <c r="A2">
        <v>1</v>
      </c>
      <c r="B2">
        <v>0.12</v>
      </c>
    </row>
    <row r="3" spans="1:2" x14ac:dyDescent="0.25">
      <c r="A3">
        <v>2</v>
      </c>
      <c r="B3">
        <v>0.15</v>
      </c>
    </row>
    <row r="4" spans="1:2" x14ac:dyDescent="0.25">
      <c r="A4">
        <v>3</v>
      </c>
      <c r="B4">
        <v>0.15</v>
      </c>
    </row>
    <row r="5" spans="1:2" x14ac:dyDescent="0.25">
      <c r="A5">
        <v>4</v>
      </c>
      <c r="B5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F602A-A0FA-46B0-B6C8-04EC3DCF6DA7}">
  <dimension ref="A1:B4"/>
  <sheetViews>
    <sheetView workbookViewId="0">
      <selection activeCell="G12" sqref="G12"/>
    </sheetView>
  </sheetViews>
  <sheetFormatPr baseColWidth="10" defaultRowHeight="15" x14ac:dyDescent="0.25"/>
  <sheetData>
    <row r="1" spans="1:2" x14ac:dyDescent="0.25">
      <c r="A1" t="s">
        <v>0</v>
      </c>
      <c r="B1" t="s">
        <v>3</v>
      </c>
    </row>
    <row r="2" spans="1:2" x14ac:dyDescent="0.25">
      <c r="A2">
        <v>1</v>
      </c>
      <c r="B2" t="s">
        <v>25</v>
      </c>
    </row>
    <row r="3" spans="1:2" x14ac:dyDescent="0.25">
      <c r="A3">
        <v>2</v>
      </c>
      <c r="B3" t="s">
        <v>26</v>
      </c>
    </row>
    <row r="4" spans="1:2" x14ac:dyDescent="0.25">
      <c r="A4">
        <v>3</v>
      </c>
      <c r="B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5</vt:i4>
      </vt:variant>
    </vt:vector>
  </HeadingPairs>
  <TitlesOfParts>
    <vt:vector size="9" baseType="lpstr">
      <vt:lpstr>Hoja1</vt:lpstr>
      <vt:lpstr>Articulos</vt:lpstr>
      <vt:lpstr>Impuestos</vt:lpstr>
      <vt:lpstr>Transacciones</vt:lpstr>
      <vt:lpstr>Articulos</vt:lpstr>
      <vt:lpstr>ArticulosDetVal</vt:lpstr>
      <vt:lpstr>articulosfin</vt:lpstr>
      <vt:lpstr>impuestos</vt:lpstr>
      <vt:lpstr>transacciones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 Coronel Benitez</dc:creator>
  <cp:lastModifiedBy>Wilson Coronel Benitez</cp:lastModifiedBy>
  <dcterms:created xsi:type="dcterms:W3CDTF">2025-11-19T17:31:12Z</dcterms:created>
  <dcterms:modified xsi:type="dcterms:W3CDTF">2026-02-11T21:49:13Z</dcterms:modified>
</cp:coreProperties>
</file>